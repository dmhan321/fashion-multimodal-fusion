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class_metrics_summary" sheetId="1" r:id="rId5"/>
  </sheets>
  <definedNames/>
  <calcPr/>
</workbook>
</file>

<file path=xl/sharedStrings.xml><?xml version="1.0" encoding="utf-8"?>
<sst xmlns="http://schemas.openxmlformats.org/spreadsheetml/2006/main" count="23" uniqueCount="23">
  <si>
    <t>Style</t>
  </si>
  <si>
    <t>F1_Mean</t>
  </si>
  <si>
    <t>F1_Std</t>
  </si>
  <si>
    <t>F1_CV%</t>
  </si>
  <si>
    <t>Precision_Mean</t>
  </si>
  <si>
    <t>Recall_Mean</t>
  </si>
  <si>
    <t>f1 rounded</t>
  </si>
  <si>
    <t>f1 std rounded</t>
  </si>
  <si>
    <t>f1 &amp; std</t>
  </si>
  <si>
    <t>conservative</t>
  </si>
  <si>
    <t>dressy</t>
  </si>
  <si>
    <t>ethnic</t>
  </si>
  <si>
    <t>fairy</t>
  </si>
  <si>
    <t>feminine</t>
  </si>
  <si>
    <t>gal</t>
  </si>
  <si>
    <t>girlish</t>
  </si>
  <si>
    <t>kireime-casual</t>
  </si>
  <si>
    <t>lolita</t>
  </si>
  <si>
    <t>mode</t>
  </si>
  <si>
    <t>natural</t>
  </si>
  <si>
    <t>retro</t>
  </si>
  <si>
    <t>rock</t>
  </si>
  <si>
    <t>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</si>
</sst>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0.756208449261183</v>
      </c>
      <c r="C2" s="1">
        <v>0.0177385878695444</v>
      </c>
      <c r="D2" s="1">
        <v>2.34572727756151</v>
      </c>
      <c r="E2" s="1">
        <v>0.721169038834601</v>
      </c>
      <c r="F2" s="1">
        <v>0.79568345323741</v>
      </c>
      <c r="G2" s="2">
        <f t="shared" ref="G2:H2" si="1">round(B2,4)</f>
        <v>0.7562</v>
      </c>
      <c r="H2" s="2">
        <f t="shared" si="1"/>
        <v>0.0177</v>
      </c>
      <c r="I2" s="2" t="str">
        <f t="shared" ref="I2:I15" si="3">G2 &amp; " ± " &amp; H2</f>
        <v>0.7562 ± 0.0177</v>
      </c>
    </row>
    <row r="3">
      <c r="A3" s="1" t="s">
        <v>10</v>
      </c>
      <c r="B3" s="1">
        <v>0.952195413251991</v>
      </c>
      <c r="C3" s="1">
        <v>0.00754954419178514</v>
      </c>
      <c r="D3" s="1">
        <v>0.792856601356807</v>
      </c>
      <c r="E3" s="1">
        <v>0.946049797563178</v>
      </c>
      <c r="F3" s="1">
        <v>0.958518518518518</v>
      </c>
      <c r="G3" s="2">
        <f t="shared" ref="G3:H3" si="2">round(B3,4)</f>
        <v>0.9522</v>
      </c>
      <c r="H3" s="2">
        <f t="shared" si="2"/>
        <v>0.0075</v>
      </c>
      <c r="I3" s="2" t="str">
        <f t="shared" si="3"/>
        <v>0.9522 ± 0.0075</v>
      </c>
    </row>
    <row r="4">
      <c r="A4" s="1" t="s">
        <v>11</v>
      </c>
      <c r="B4" s="1">
        <v>0.825315914188756</v>
      </c>
      <c r="C4" s="1">
        <v>0.0135343569950086</v>
      </c>
      <c r="D4" s="1">
        <v>1.63990015972395</v>
      </c>
      <c r="E4" s="1">
        <v>0.854452422766037</v>
      </c>
      <c r="F4" s="1">
        <v>0.7984496124031</v>
      </c>
      <c r="G4" s="2">
        <f t="shared" ref="G4:H4" si="4">round(B4,4)</f>
        <v>0.8253</v>
      </c>
      <c r="H4" s="2">
        <f t="shared" si="4"/>
        <v>0.0135</v>
      </c>
      <c r="I4" s="2" t="str">
        <f t="shared" si="3"/>
        <v>0.8253 ± 0.0135</v>
      </c>
    </row>
    <row r="5">
      <c r="A5" s="1" t="s">
        <v>12</v>
      </c>
      <c r="B5" s="1">
        <v>0.91629879726295</v>
      </c>
      <c r="C5" s="1">
        <v>0.00899832252293724</v>
      </c>
      <c r="D5" s="1">
        <v>0.982029284532063</v>
      </c>
      <c r="E5" s="1">
        <v>0.915410332449121</v>
      </c>
      <c r="F5" s="1">
        <v>0.918055555555555</v>
      </c>
      <c r="G5" s="2">
        <f t="shared" ref="G5:H5" si="5">round(B5,4)</f>
        <v>0.9163</v>
      </c>
      <c r="H5" s="2">
        <f t="shared" si="5"/>
        <v>0.009</v>
      </c>
      <c r="I5" s="2" t="str">
        <f t="shared" si="3"/>
        <v>0.9163 ± 0.009</v>
      </c>
    </row>
    <row r="6">
      <c r="A6" s="1" t="s">
        <v>13</v>
      </c>
      <c r="B6" s="1">
        <v>0.74533520387659</v>
      </c>
      <c r="C6" s="1">
        <v>0.0199739235321341</v>
      </c>
      <c r="D6" s="1">
        <v>2.67985779126586</v>
      </c>
      <c r="E6" s="1">
        <v>0.714411114820817</v>
      </c>
      <c r="F6" s="1">
        <v>0.780327868852459</v>
      </c>
      <c r="G6" s="2">
        <f t="shared" ref="G6:H6" si="6">round(B6,4)</f>
        <v>0.7453</v>
      </c>
      <c r="H6" s="2">
        <f t="shared" si="6"/>
        <v>0.02</v>
      </c>
      <c r="I6" s="2" t="str">
        <f t="shared" si="3"/>
        <v>0.7453 ± 0.02</v>
      </c>
    </row>
    <row r="7">
      <c r="A7" s="1" t="s">
        <v>14</v>
      </c>
      <c r="B7" s="1">
        <v>0.849412997082359</v>
      </c>
      <c r="C7" s="1">
        <v>0.0150862345738106</v>
      </c>
      <c r="D7" s="1">
        <v>1.77607767077148</v>
      </c>
      <c r="E7" s="1">
        <v>0.82860464096153</v>
      </c>
      <c r="F7" s="1">
        <v>0.871328671328671</v>
      </c>
      <c r="G7" s="2">
        <f t="shared" ref="G7:H7" si="7">round(B7,4)</f>
        <v>0.8494</v>
      </c>
      <c r="H7" s="2">
        <f t="shared" si="7"/>
        <v>0.0151</v>
      </c>
      <c r="I7" s="2" t="str">
        <f t="shared" si="3"/>
        <v>0.8494 ± 0.0151</v>
      </c>
    </row>
    <row r="8">
      <c r="A8" s="1" t="s">
        <v>15</v>
      </c>
      <c r="B8" s="1">
        <v>0.644139309495457</v>
      </c>
      <c r="C8" s="1">
        <v>0.0217080039880253</v>
      </c>
      <c r="D8" s="1">
        <v>3.37007906023136</v>
      </c>
      <c r="E8" s="1">
        <v>0.739336911694484</v>
      </c>
      <c r="F8" s="1">
        <v>0.571084337349397</v>
      </c>
      <c r="G8" s="2">
        <f t="shared" ref="G8:H8" si="8">round(B8,4)</f>
        <v>0.6441</v>
      </c>
      <c r="H8" s="2">
        <f t="shared" si="8"/>
        <v>0.0217</v>
      </c>
      <c r="I8" s="2" t="str">
        <f t="shared" si="3"/>
        <v>0.6441 ± 0.0217</v>
      </c>
    </row>
    <row r="9">
      <c r="A9" s="1" t="s">
        <v>16</v>
      </c>
      <c r="B9" s="1">
        <v>0.665689735654445</v>
      </c>
      <c r="C9" s="1">
        <v>0.0201212998206619</v>
      </c>
      <c r="D9" s="1">
        <v>3.02262431624854</v>
      </c>
      <c r="E9" s="1">
        <v>0.678324905767378</v>
      </c>
      <c r="F9" s="1">
        <v>0.654430379746835</v>
      </c>
      <c r="G9" s="2">
        <f t="shared" ref="G9:H9" si="9">round(B9,4)</f>
        <v>0.6657</v>
      </c>
      <c r="H9" s="2">
        <f t="shared" si="9"/>
        <v>0.0201</v>
      </c>
      <c r="I9" s="2" t="str">
        <f t="shared" si="3"/>
        <v>0.6657 ± 0.0201</v>
      </c>
    </row>
    <row r="10">
      <c r="A10" s="1" t="s">
        <v>17</v>
      </c>
      <c r="B10" s="1">
        <v>0.919139408667799</v>
      </c>
      <c r="C10" s="1">
        <v>0.0139711885220395</v>
      </c>
      <c r="D10" s="1">
        <v>1.5200293220252</v>
      </c>
      <c r="E10" s="1">
        <v>0.90768123466025</v>
      </c>
      <c r="F10" s="1">
        <v>0.93125</v>
      </c>
      <c r="G10" s="2">
        <f t="shared" ref="G10:H10" si="10">round(B10,4)</f>
        <v>0.9191</v>
      </c>
      <c r="H10" s="2">
        <f t="shared" si="10"/>
        <v>0.014</v>
      </c>
      <c r="I10" s="2" t="str">
        <f t="shared" si="3"/>
        <v>0.9191 ± 0.014</v>
      </c>
    </row>
    <row r="11">
      <c r="A11" s="1" t="s">
        <v>18</v>
      </c>
      <c r="B11" s="1">
        <v>0.800417727810758</v>
      </c>
      <c r="C11" s="1">
        <v>0.0152587936966304</v>
      </c>
      <c r="D11" s="1">
        <v>1.90635379083433</v>
      </c>
      <c r="E11" s="1">
        <v>0.805651462889663</v>
      </c>
      <c r="F11" s="1">
        <v>0.796226415094339</v>
      </c>
      <c r="G11" s="2">
        <f t="shared" ref="G11:H11" si="11">round(B11,4)</f>
        <v>0.8004</v>
      </c>
      <c r="H11" s="2">
        <f t="shared" si="11"/>
        <v>0.0153</v>
      </c>
      <c r="I11" s="2" t="str">
        <f t="shared" si="3"/>
        <v>0.8004 ± 0.0153</v>
      </c>
    </row>
    <row r="12">
      <c r="A12" s="1" t="s">
        <v>19</v>
      </c>
      <c r="B12" s="1">
        <v>0.794767776128648</v>
      </c>
      <c r="C12" s="1">
        <v>0.0174438413071412</v>
      </c>
      <c r="D12" s="1">
        <v>2.19483499848358</v>
      </c>
      <c r="E12" s="1">
        <v>0.738784345154611</v>
      </c>
      <c r="F12" s="1">
        <v>0.862015503875968</v>
      </c>
      <c r="G12" s="2">
        <f t="shared" ref="G12:H12" si="12">round(B12,4)</f>
        <v>0.7948</v>
      </c>
      <c r="H12" s="2">
        <f t="shared" si="12"/>
        <v>0.0174</v>
      </c>
      <c r="I12" s="2" t="str">
        <f t="shared" si="3"/>
        <v>0.7948 ± 0.0174</v>
      </c>
    </row>
    <row r="13">
      <c r="A13" s="1" t="s">
        <v>20</v>
      </c>
      <c r="B13" s="1">
        <v>0.762873280791047</v>
      </c>
      <c r="C13" s="1">
        <v>0.038232366265901</v>
      </c>
      <c r="D13" s="1">
        <v>5.01162738669476</v>
      </c>
      <c r="E13" s="1">
        <v>0.802852875382279</v>
      </c>
      <c r="F13" s="1">
        <v>0.72755905511811</v>
      </c>
      <c r="G13" s="2">
        <f t="shared" ref="G13:H13" si="13">round(B13,4)</f>
        <v>0.7629</v>
      </c>
      <c r="H13" s="2">
        <f t="shared" si="13"/>
        <v>0.0382</v>
      </c>
      <c r="I13" s="2" t="str">
        <f t="shared" si="3"/>
        <v>0.7629 ± 0.0382</v>
      </c>
    </row>
    <row r="14">
      <c r="A14" s="1" t="s">
        <v>21</v>
      </c>
      <c r="B14" s="1">
        <v>0.806449143733202</v>
      </c>
      <c r="C14" s="1">
        <v>0.017049087093936</v>
      </c>
      <c r="D14" s="1">
        <v>2.11409327251718</v>
      </c>
      <c r="E14" s="1">
        <v>0.802850370654779</v>
      </c>
      <c r="F14" s="1">
        <v>0.811570247933884</v>
      </c>
      <c r="G14" s="2">
        <f t="shared" ref="G14:H14" si="14">round(B14,4)</f>
        <v>0.8064</v>
      </c>
      <c r="H14" s="2">
        <f t="shared" si="14"/>
        <v>0.017</v>
      </c>
      <c r="I14" s="2" t="str">
        <f t="shared" si="3"/>
        <v>0.8064 ± 0.017</v>
      </c>
    </row>
    <row r="15">
      <c r="A15" s="1" t="s">
        <v>22</v>
      </c>
      <c r="B15" s="1">
        <v>0.898267876755064</v>
      </c>
      <c r="C15" s="1">
        <v>0.0133243228633605</v>
      </c>
      <c r="D15" s="1">
        <v>1.48333511730306</v>
      </c>
      <c r="E15" s="1">
        <v>0.892410616601421</v>
      </c>
      <c r="F15" s="1">
        <v>0.904575163398692</v>
      </c>
      <c r="G15" s="2">
        <f t="shared" ref="G15:H15" si="15">round(B15,4)</f>
        <v>0.8983</v>
      </c>
      <c r="H15" s="2">
        <f t="shared" si="15"/>
        <v>0.0133</v>
      </c>
      <c r="I15" s="2" t="str">
        <f t="shared" si="3"/>
        <v>0.8983 ± 0.0133</v>
      </c>
    </row>
    <row r="16">
      <c r="G16" s="2">
        <f t="shared" ref="G16:H16" si="16">AVERAGE(G2:G15)</f>
        <v>0.8097428571</v>
      </c>
      <c r="H16" s="2">
        <f t="shared" si="16"/>
        <v>0.01712857143</v>
      </c>
    </row>
  </sheetData>
  <drawing r:id="rId1"/>
</worksheet>
</file>