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_class_metrics_summary" sheetId="1" r:id="rId5"/>
  </sheets>
  <definedNames/>
  <calcPr/>
</workbook>
</file>

<file path=xl/sharedStrings.xml><?xml version="1.0" encoding="utf-8"?>
<sst xmlns="http://schemas.openxmlformats.org/spreadsheetml/2006/main" count="23" uniqueCount="23">
  <si>
    <t>Style</t>
  </si>
  <si>
    <t>F1_Mean</t>
  </si>
  <si>
    <t>F1_Std</t>
  </si>
  <si>
    <t>F1_CV%</t>
  </si>
  <si>
    <t>Precision_Mean</t>
  </si>
  <si>
    <t>Recall_Mean</t>
  </si>
  <si>
    <t>f1 rounded</t>
  </si>
  <si>
    <t>f1 std rounded</t>
  </si>
  <si>
    <t>f1&amp;std</t>
  </si>
  <si>
    <t>conservative</t>
  </si>
  <si>
    <t>dressy</t>
  </si>
  <si>
    <t>ethnic</t>
  </si>
  <si>
    <t>fairy</t>
  </si>
  <si>
    <t>feminine</t>
  </si>
  <si>
    <t>gal</t>
  </si>
  <si>
    <t>girlish</t>
  </si>
  <si>
    <t>kireime-casual</t>
  </si>
  <si>
    <t>lolita</t>
  </si>
  <si>
    <t>mode</t>
  </si>
  <si>
    <t>natural</t>
  </si>
  <si>
    <t>retro</t>
  </si>
  <si>
    <t>rock</t>
  </si>
  <si>
    <t>street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</si>
</sst>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0.758521288497192</v>
      </c>
      <c r="C2" s="1">
        <v>0.0230315933981563</v>
      </c>
      <c r="D2" s="1">
        <v>3.03638061942695</v>
      </c>
      <c r="E2" s="1">
        <v>0.715014762627298</v>
      </c>
      <c r="F2" s="1">
        <v>0.812949640287769</v>
      </c>
      <c r="G2" s="2">
        <f t="shared" ref="G2:H2" si="1">ROUND(B2, 4)</f>
        <v>0.7585</v>
      </c>
      <c r="H2" s="2">
        <f t="shared" si="1"/>
        <v>0.023</v>
      </c>
      <c r="I2" s="2" t="str">
        <f t="shared" ref="I2:I15" si="3">G2 &amp; " ± " &amp; H2</f>
        <v>0.7585 ± 0.023</v>
      </c>
    </row>
    <row r="3">
      <c r="A3" s="1" t="s">
        <v>10</v>
      </c>
      <c r="B3" s="1">
        <v>0.961611550092673</v>
      </c>
      <c r="C3" s="1">
        <v>0.00715256220472952</v>
      </c>
      <c r="D3" s="1">
        <v>0.743809930739725</v>
      </c>
      <c r="E3" s="1">
        <v>0.95886260663825</v>
      </c>
      <c r="F3" s="1">
        <v>0.964444444444444</v>
      </c>
      <c r="G3" s="2">
        <f t="shared" ref="G3:H3" si="2">ROUND(B3, 4)</f>
        <v>0.9616</v>
      </c>
      <c r="H3" s="2">
        <f t="shared" si="2"/>
        <v>0.0072</v>
      </c>
      <c r="I3" s="2" t="str">
        <f t="shared" si="3"/>
        <v>0.9616 ± 0.0072</v>
      </c>
    </row>
    <row r="4">
      <c r="A4" s="1" t="s">
        <v>11</v>
      </c>
      <c r="B4" s="1">
        <v>0.841979724261249</v>
      </c>
      <c r="C4" s="1">
        <v>0.0195375438798514</v>
      </c>
      <c r="D4" s="1">
        <v>2.3204292593855</v>
      </c>
      <c r="E4" s="1">
        <v>0.844247959473073</v>
      </c>
      <c r="F4" s="1">
        <v>0.844961240310077</v>
      </c>
      <c r="G4" s="2">
        <f t="shared" ref="G4:H4" si="4">ROUND(B4, 4)</f>
        <v>0.842</v>
      </c>
      <c r="H4" s="2">
        <f t="shared" si="4"/>
        <v>0.0195</v>
      </c>
      <c r="I4" s="2" t="str">
        <f t="shared" si="3"/>
        <v>0.842 ± 0.0195</v>
      </c>
    </row>
    <row r="5">
      <c r="A5" s="1" t="s">
        <v>12</v>
      </c>
      <c r="B5" s="1">
        <v>0.912876380607756</v>
      </c>
      <c r="C5" s="1">
        <v>0.00559711146846804</v>
      </c>
      <c r="D5" s="1">
        <v>0.613129180178997</v>
      </c>
      <c r="E5" s="1">
        <v>0.899551789506198</v>
      </c>
      <c r="F5" s="1">
        <v>0.929166666666666</v>
      </c>
      <c r="G5" s="2">
        <f t="shared" ref="G5:H5" si="5">ROUND(B5, 4)</f>
        <v>0.9129</v>
      </c>
      <c r="H5" s="2">
        <f t="shared" si="5"/>
        <v>0.0056</v>
      </c>
      <c r="I5" s="2" t="str">
        <f t="shared" si="3"/>
        <v>0.9129 ± 0.0056</v>
      </c>
    </row>
    <row r="6">
      <c r="A6" s="1" t="s">
        <v>13</v>
      </c>
      <c r="B6" s="1">
        <v>0.734900372895972</v>
      </c>
      <c r="C6" s="1">
        <v>0.0118814075053086</v>
      </c>
      <c r="D6" s="1">
        <v>1.61673717193643</v>
      </c>
      <c r="E6" s="1">
        <v>0.714966929318608</v>
      </c>
      <c r="F6" s="1">
        <v>0.757377049180327</v>
      </c>
      <c r="G6" s="2">
        <f t="shared" ref="G6:H6" si="6">ROUND(B6, 4)</f>
        <v>0.7349</v>
      </c>
      <c r="H6" s="2">
        <f t="shared" si="6"/>
        <v>0.0119</v>
      </c>
      <c r="I6" s="2" t="str">
        <f t="shared" si="3"/>
        <v>0.7349 ± 0.0119</v>
      </c>
    </row>
    <row r="7">
      <c r="A7" s="1" t="s">
        <v>14</v>
      </c>
      <c r="B7" s="1">
        <v>0.842445487465045</v>
      </c>
      <c r="C7" s="1">
        <v>0.0161470027360308</v>
      </c>
      <c r="D7" s="1">
        <v>1.91668220392727</v>
      </c>
      <c r="E7" s="1">
        <v>0.836347049390457</v>
      </c>
      <c r="F7" s="1">
        <v>0.848951048951049</v>
      </c>
      <c r="G7" s="2">
        <f t="shared" ref="G7:H7" si="7">ROUND(B7, 4)</f>
        <v>0.8424</v>
      </c>
      <c r="H7" s="2">
        <f t="shared" si="7"/>
        <v>0.0161</v>
      </c>
      <c r="I7" s="2" t="str">
        <f t="shared" si="3"/>
        <v>0.8424 ± 0.0161</v>
      </c>
    </row>
    <row r="8">
      <c r="A8" s="1" t="s">
        <v>15</v>
      </c>
      <c r="B8" s="1">
        <v>0.663196091292105</v>
      </c>
      <c r="C8" s="1">
        <v>0.015636484966166</v>
      </c>
      <c r="D8" s="1">
        <v>2.3577468521718</v>
      </c>
      <c r="E8" s="1">
        <v>0.736825193051587</v>
      </c>
      <c r="F8" s="1">
        <v>0.603614457831325</v>
      </c>
      <c r="G8" s="2">
        <f t="shared" ref="G8:H8" si="8">ROUND(B8, 4)</f>
        <v>0.6632</v>
      </c>
      <c r="H8" s="2">
        <f t="shared" si="8"/>
        <v>0.0156</v>
      </c>
      <c r="I8" s="2" t="str">
        <f t="shared" si="3"/>
        <v>0.6632 ± 0.0156</v>
      </c>
    </row>
    <row r="9">
      <c r="A9" s="1" t="s">
        <v>16</v>
      </c>
      <c r="B9" s="1">
        <v>0.681248757855786</v>
      </c>
      <c r="C9" s="1">
        <v>0.0258885012565227</v>
      </c>
      <c r="D9" s="1">
        <v>3.80015390237278</v>
      </c>
      <c r="E9" s="1">
        <v>0.718387233284551</v>
      </c>
      <c r="F9" s="1">
        <v>0.651898734177215</v>
      </c>
      <c r="G9" s="2">
        <f t="shared" ref="G9:H9" si="9">ROUND(B9, 4)</f>
        <v>0.6812</v>
      </c>
      <c r="H9" s="2">
        <f t="shared" si="9"/>
        <v>0.0259</v>
      </c>
      <c r="I9" s="2" t="str">
        <f t="shared" si="3"/>
        <v>0.6812 ± 0.0259</v>
      </c>
    </row>
    <row r="10">
      <c r="A10" s="1" t="s">
        <v>17</v>
      </c>
      <c r="B10" s="1">
        <v>0.920357489577168</v>
      </c>
      <c r="C10" s="1">
        <v>0.00992761215206333</v>
      </c>
      <c r="D10" s="1">
        <v>1.07866913286317</v>
      </c>
      <c r="E10" s="1">
        <v>0.922563834809812</v>
      </c>
      <c r="F10" s="1">
        <v>0.91875</v>
      </c>
      <c r="G10" s="2">
        <f t="shared" ref="G10:H10" si="10">ROUND(B10, 4)</f>
        <v>0.9204</v>
      </c>
      <c r="H10" s="2">
        <f t="shared" si="10"/>
        <v>0.0099</v>
      </c>
      <c r="I10" s="2" t="str">
        <f t="shared" si="3"/>
        <v>0.9204 ± 0.0099</v>
      </c>
    </row>
    <row r="11">
      <c r="A11" s="1" t="s">
        <v>18</v>
      </c>
      <c r="B11" s="1">
        <v>0.790165701658327</v>
      </c>
      <c r="C11" s="1">
        <v>0.00749277764745041</v>
      </c>
      <c r="D11" s="1">
        <v>0.948253971505629</v>
      </c>
      <c r="E11" s="1">
        <v>0.815147738840784</v>
      </c>
      <c r="F11" s="1">
        <v>0.768553459119496</v>
      </c>
      <c r="G11" s="2">
        <f t="shared" ref="G11:H11" si="11">ROUND(B11, 4)</f>
        <v>0.7902</v>
      </c>
      <c r="H11" s="2">
        <f t="shared" si="11"/>
        <v>0.0075</v>
      </c>
      <c r="I11" s="2" t="str">
        <f t="shared" si="3"/>
        <v>0.7902 ± 0.0075</v>
      </c>
    </row>
    <row r="12">
      <c r="A12" s="1" t="s">
        <v>19</v>
      </c>
      <c r="B12" s="1">
        <v>0.783416598926178</v>
      </c>
      <c r="C12" s="1">
        <v>0.0252671395779325</v>
      </c>
      <c r="D12" s="1">
        <v>3.22524945381116</v>
      </c>
      <c r="E12" s="1">
        <v>0.750794637824578</v>
      </c>
      <c r="F12" s="1">
        <v>0.82015503875969</v>
      </c>
      <c r="G12" s="2">
        <f t="shared" ref="G12:H12" si="12">ROUND(B12, 4)</f>
        <v>0.7834</v>
      </c>
      <c r="H12" s="2">
        <f t="shared" si="12"/>
        <v>0.0253</v>
      </c>
      <c r="I12" s="2" t="str">
        <f t="shared" si="3"/>
        <v>0.7834 ± 0.0253</v>
      </c>
    </row>
    <row r="13">
      <c r="A13" s="1" t="s">
        <v>20</v>
      </c>
      <c r="B13" s="1">
        <v>0.779740239434702</v>
      </c>
      <c r="C13" s="1">
        <v>0.0227661931547471</v>
      </c>
      <c r="D13" s="1">
        <v>2.91971505424065</v>
      </c>
      <c r="E13" s="1">
        <v>0.807283169759983</v>
      </c>
      <c r="F13" s="1">
        <v>0.760629921259842</v>
      </c>
      <c r="G13" s="2">
        <f t="shared" ref="G13:H13" si="13">ROUND(B13, 4)</f>
        <v>0.7797</v>
      </c>
      <c r="H13" s="2">
        <f t="shared" si="13"/>
        <v>0.0228</v>
      </c>
      <c r="I13" s="2" t="str">
        <f t="shared" si="3"/>
        <v>0.7797 ± 0.0228</v>
      </c>
    </row>
    <row r="14">
      <c r="A14" s="1" t="s">
        <v>21</v>
      </c>
      <c r="B14" s="1">
        <v>0.781780971237151</v>
      </c>
      <c r="C14" s="1">
        <v>0.0260050307844702</v>
      </c>
      <c r="D14" s="1">
        <v>3.32638318675342</v>
      </c>
      <c r="E14" s="1">
        <v>0.767795426616665</v>
      </c>
      <c r="F14" s="1">
        <v>0.796694214876033</v>
      </c>
      <c r="G14" s="2">
        <f t="shared" ref="G14:H14" si="14">ROUND(B14, 4)</f>
        <v>0.7818</v>
      </c>
      <c r="H14" s="2">
        <f t="shared" si="14"/>
        <v>0.026</v>
      </c>
      <c r="I14" s="2" t="str">
        <f t="shared" si="3"/>
        <v>0.7818 ± 0.026</v>
      </c>
    </row>
    <row r="15">
      <c r="A15" s="1" t="s">
        <v>22</v>
      </c>
      <c r="B15" s="1">
        <v>0.872653713696806</v>
      </c>
      <c r="C15" s="1">
        <v>0.0177027403985475</v>
      </c>
      <c r="D15" s="1">
        <v>2.02860998821098</v>
      </c>
      <c r="E15" s="1">
        <v>0.860486526611877</v>
      </c>
      <c r="F15" s="1">
        <v>0.887581699346405</v>
      </c>
      <c r="G15" s="2">
        <f t="shared" ref="G15:H15" si="15">ROUND(B15, 4)</f>
        <v>0.8727</v>
      </c>
      <c r="H15" s="2">
        <f t="shared" si="15"/>
        <v>0.0177</v>
      </c>
      <c r="I15" s="2" t="str">
        <f t="shared" si="3"/>
        <v>0.8727 ± 0.0177</v>
      </c>
    </row>
    <row r="16">
      <c r="G16" s="2">
        <f t="shared" ref="G16:H16" si="16">AVERAGE(G2:G15)</f>
        <v>0.8089214286</v>
      </c>
      <c r="H16" s="2">
        <f t="shared" si="16"/>
        <v>0.01671428571</v>
      </c>
    </row>
  </sheetData>
  <drawing r:id="rId1"/>
</worksheet>
</file>